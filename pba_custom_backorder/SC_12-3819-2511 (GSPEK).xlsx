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36° Pedido 250057 (GSPEK)/"/>
    </mc:Choice>
  </mc:AlternateContent>
  <xr:revisionPtr revIDLastSave="2" documentId="11_D7E0B731D528A174001FA500E52B2BED63591EF6" xr6:coauthVersionLast="47" xr6:coauthVersionMax="47" xr10:uidLastSave="{625CD8AE-0741-483B-BDE9-9D57F8245558}"/>
  <bookViews>
    <workbookView xWindow="20370" yWindow="-120" windowWidth="29040" windowHeight="15720" xr2:uid="{00000000-000D-0000-FFFF-FFFF00000000}"/>
  </bookViews>
  <sheets>
    <sheet name="12-3819-251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" i="7"/>
  <c r="K22" i="7" l="1"/>
</calcChain>
</file>

<file path=xl/sharedStrings.xml><?xml version="1.0" encoding="utf-8"?>
<sst xmlns="http://schemas.openxmlformats.org/spreadsheetml/2006/main" count="132" uniqueCount="36">
  <si>
    <t>90038-12004</t>
  </si>
  <si>
    <t>PZS.</t>
  </si>
  <si>
    <t>90048-12021</t>
  </si>
  <si>
    <t>90913-02038</t>
  </si>
  <si>
    <t>90913-02048-B</t>
  </si>
  <si>
    <t>90913-02062</t>
  </si>
  <si>
    <t>90913-02066</t>
  </si>
  <si>
    <t>90913-02067</t>
  </si>
  <si>
    <t>90913-02076</t>
  </si>
  <si>
    <t>90913-02088</t>
  </si>
  <si>
    <t>90913-02089</t>
  </si>
  <si>
    <t>90913-02090</t>
  </si>
  <si>
    <t>90913-02092</t>
  </si>
  <si>
    <t>90913-02094</t>
  </si>
  <si>
    <t>90913-02096</t>
  </si>
  <si>
    <t>90913-02097</t>
  </si>
  <si>
    <t>90913-02101</t>
  </si>
  <si>
    <t>90913-02103</t>
  </si>
  <si>
    <t>90913-02109</t>
  </si>
  <si>
    <t>90913-02111</t>
  </si>
  <si>
    <t>90913-02112</t>
  </si>
  <si>
    <t>ITEM</t>
  </si>
  <si>
    <t>NO. PARTE</t>
  </si>
  <si>
    <t>DESCRIPCIÓN</t>
  </si>
  <si>
    <t>PROVEEDOR</t>
  </si>
  <si>
    <t>FABRICA</t>
  </si>
  <si>
    <t>NO. PEDIDO</t>
  </si>
  <si>
    <t>NO. CONFIRMACION VENTA</t>
  </si>
  <si>
    <t>CANT</t>
  </si>
  <si>
    <t>UNI</t>
  </si>
  <si>
    <t>PRECIO UNI</t>
  </si>
  <si>
    <t>TOTAL YEN</t>
  </si>
  <si>
    <t xml:space="preserve">GOMA VALVULA </t>
  </si>
  <si>
    <t>GSPEK PREMIUM</t>
  </si>
  <si>
    <t>SPK CORP.</t>
  </si>
  <si>
    <t>12-3819-2511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</si>
</sst>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65" fontId="2" fillId="0" borderId="0" xfId="1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shrinkToFit="1"/>
    </xf>
    <xf numFmtId="0" fontId="3" fillId="0" borderId="0" xfId="0" applyFont="1" applyAlignment="1">
      <alignment horizontal="left" vertical="center" wrapText="1"/>
    </xf>
    <xf numFmtId="165" fontId="2" fillId="0" borderId="0" xfId="1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Border="1" applyAlignment="1">
      <alignment horizontal="left" vertical="center" shrinkToFit="1"/>
    </xf>
    <xf numFmtId="165" fontId="2" fillId="0" borderId="0" xfId="1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tabSelected="1" workbookViewId="0">
      <selection activeCell="B2" sqref="B2"/>
    </sheetView>
  </sheetViews>
  <sheetFormatPr baseColWidth="10" defaultColWidth="9.33203125" defaultRowHeight="12.75" x14ac:dyDescent="0.2"/>
  <cols>
    <col min="1" max="1" width="6" style="1" customWidth="1"/>
    <col min="2" max="2" width="16.83203125" style="1" customWidth="1"/>
    <col min="3" max="3" width="20.6640625" style="1" customWidth="1"/>
    <col min="4" max="4" width="14.6640625" style="1" customWidth="1"/>
    <col min="5" max="5" width="21.5" style="1" customWidth="1"/>
    <col min="6" max="6" width="13.83203125" style="2" bestFit="1" customWidth="1"/>
    <col min="7" max="7" width="22.83203125" style="1" bestFit="1" customWidth="1"/>
    <col min="8" max="8" width="7.83203125" style="1" bestFit="1" customWidth="1"/>
    <col min="9" max="9" width="6" style="1" bestFit="1" customWidth="1"/>
    <col min="10" max="10" width="10" style="1" bestFit="1" customWidth="1"/>
    <col min="11" max="11" width="12" style="1" bestFit="1" customWidth="1"/>
    <col min="12" max="16384" width="9.33203125" style="1"/>
  </cols>
  <sheetData>
    <row r="1" spans="1:11" s="6" customFormat="1" ht="33.75" customHeight="1" x14ac:dyDescent="0.2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5" t="s">
        <v>28</v>
      </c>
      <c r="I1" s="4" t="s">
        <v>29</v>
      </c>
      <c r="J1" s="5" t="s">
        <v>30</v>
      </c>
      <c r="K1" s="5" t="s">
        <v>31</v>
      </c>
    </row>
    <row r="2" spans="1:11" s="14" customFormat="1" ht="12.75" customHeight="1" x14ac:dyDescent="0.2">
      <c r="A2" s="8">
        <v>1</v>
      </c>
      <c r="B2" s="9" t="s">
        <v>0</v>
      </c>
      <c r="C2" s="9" t="s">
        <v>32</v>
      </c>
      <c r="D2" s="7" t="s">
        <v>34</v>
      </c>
      <c r="E2" s="7" t="s">
        <v>33</v>
      </c>
      <c r="F2" s="7">
        <v>250057</v>
      </c>
      <c r="G2" s="7" t="s">
        <v>35</v>
      </c>
      <c r="H2" s="10">
        <v>128</v>
      </c>
      <c r="I2" s="11" t="s">
        <v>1</v>
      </c>
      <c r="J2" s="12">
        <v>28</v>
      </c>
      <c r="K2" s="13">
        <f>H2*J2</f>
        <v>3584</v>
      </c>
    </row>
    <row r="3" spans="1:11" s="14" customFormat="1" ht="12.75" customHeight="1" x14ac:dyDescent="0.2">
      <c r="A3" s="8">
        <v>2</v>
      </c>
      <c r="B3" s="9" t="s">
        <v>2</v>
      </c>
      <c r="C3" s="9" t="s">
        <v>32</v>
      </c>
      <c r="D3" s="7" t="s">
        <v>34</v>
      </c>
      <c r="E3" s="7" t="s">
        <v>33</v>
      </c>
      <c r="F3" s="7">
        <v>250057</v>
      </c>
      <c r="G3" s="7" t="s">
        <v>35</v>
      </c>
      <c r="H3" s="10">
        <v>512</v>
      </c>
      <c r="I3" s="11" t="s">
        <v>1</v>
      </c>
      <c r="J3" s="12">
        <v>28</v>
      </c>
      <c r="K3" s="13">
        <f t="shared" ref="K3:K21" si="0">H3*J3</f>
        <v>14336</v>
      </c>
    </row>
    <row r="4" spans="1:11" s="14" customFormat="1" ht="12.75" customHeight="1" x14ac:dyDescent="0.2">
      <c r="A4" s="8">
        <v>3</v>
      </c>
      <c r="B4" s="9" t="s">
        <v>3</v>
      </c>
      <c r="C4" s="9" t="s">
        <v>32</v>
      </c>
      <c r="D4" s="7" t="s">
        <v>34</v>
      </c>
      <c r="E4" s="7" t="s">
        <v>33</v>
      </c>
      <c r="F4" s="7">
        <v>250057</v>
      </c>
      <c r="G4" s="7" t="s">
        <v>35</v>
      </c>
      <c r="H4" s="10">
        <v>1920</v>
      </c>
      <c r="I4" s="11" t="s">
        <v>1</v>
      </c>
      <c r="J4" s="12">
        <v>29</v>
      </c>
      <c r="K4" s="13">
        <f t="shared" si="0"/>
        <v>55680</v>
      </c>
    </row>
    <row r="5" spans="1:11" s="14" customFormat="1" ht="12.75" customHeight="1" x14ac:dyDescent="0.2">
      <c r="A5" s="8">
        <v>4</v>
      </c>
      <c r="B5" s="9" t="s">
        <v>4</v>
      </c>
      <c r="C5" s="9" t="s">
        <v>32</v>
      </c>
      <c r="D5" s="7" t="s">
        <v>34</v>
      </c>
      <c r="E5" s="7" t="s">
        <v>33</v>
      </c>
      <c r="F5" s="7">
        <v>250057</v>
      </c>
      <c r="G5" s="7" t="s">
        <v>35</v>
      </c>
      <c r="H5" s="10">
        <v>9600</v>
      </c>
      <c r="I5" s="11" t="s">
        <v>1</v>
      </c>
      <c r="J5" s="12">
        <v>49</v>
      </c>
      <c r="K5" s="13">
        <f t="shared" si="0"/>
        <v>470400</v>
      </c>
    </row>
    <row r="6" spans="1:11" s="14" customFormat="1" ht="12.75" customHeight="1" x14ac:dyDescent="0.2">
      <c r="A6" s="8">
        <v>5</v>
      </c>
      <c r="B6" s="9" t="s">
        <v>5</v>
      </c>
      <c r="C6" s="9" t="s">
        <v>32</v>
      </c>
      <c r="D6" s="7" t="s">
        <v>34</v>
      </c>
      <c r="E6" s="7" t="s">
        <v>33</v>
      </c>
      <c r="F6" s="7">
        <v>250057</v>
      </c>
      <c r="G6" s="7" t="s">
        <v>35</v>
      </c>
      <c r="H6" s="10">
        <v>3840</v>
      </c>
      <c r="I6" s="11" t="s">
        <v>1</v>
      </c>
      <c r="J6" s="12">
        <v>28</v>
      </c>
      <c r="K6" s="13">
        <f t="shared" si="0"/>
        <v>107520</v>
      </c>
    </row>
    <row r="7" spans="1:11" s="14" customFormat="1" ht="12.75" customHeight="1" x14ac:dyDescent="0.2">
      <c r="A7" s="8">
        <v>6</v>
      </c>
      <c r="B7" s="9" t="s">
        <v>6</v>
      </c>
      <c r="C7" s="9" t="s">
        <v>32</v>
      </c>
      <c r="D7" s="7" t="s">
        <v>34</v>
      </c>
      <c r="E7" s="7" t="s">
        <v>33</v>
      </c>
      <c r="F7" s="7">
        <v>250057</v>
      </c>
      <c r="G7" s="7" t="s">
        <v>35</v>
      </c>
      <c r="H7" s="10">
        <v>2560</v>
      </c>
      <c r="I7" s="11" t="s">
        <v>1</v>
      </c>
      <c r="J7" s="12">
        <v>28</v>
      </c>
      <c r="K7" s="13">
        <f t="shared" si="0"/>
        <v>71680</v>
      </c>
    </row>
    <row r="8" spans="1:11" s="14" customFormat="1" ht="12.75" customHeight="1" x14ac:dyDescent="0.2">
      <c r="A8" s="8">
        <v>7</v>
      </c>
      <c r="B8" s="9" t="s">
        <v>7</v>
      </c>
      <c r="C8" s="9" t="s">
        <v>32</v>
      </c>
      <c r="D8" s="7" t="s">
        <v>34</v>
      </c>
      <c r="E8" s="7" t="s">
        <v>33</v>
      </c>
      <c r="F8" s="7">
        <v>250057</v>
      </c>
      <c r="G8" s="7" t="s">
        <v>35</v>
      </c>
      <c r="H8" s="10">
        <v>2560</v>
      </c>
      <c r="I8" s="11" t="s">
        <v>1</v>
      </c>
      <c r="J8" s="12">
        <v>29</v>
      </c>
      <c r="K8" s="13">
        <f t="shared" si="0"/>
        <v>74240</v>
      </c>
    </row>
    <row r="9" spans="1:11" s="14" customFormat="1" ht="12.75" customHeight="1" x14ac:dyDescent="0.2">
      <c r="A9" s="8">
        <v>8</v>
      </c>
      <c r="B9" s="9" t="s">
        <v>8</v>
      </c>
      <c r="C9" s="9" t="s">
        <v>32</v>
      </c>
      <c r="D9" s="7" t="s">
        <v>34</v>
      </c>
      <c r="E9" s="7" t="s">
        <v>33</v>
      </c>
      <c r="F9" s="7">
        <v>250057</v>
      </c>
      <c r="G9" s="7" t="s">
        <v>35</v>
      </c>
      <c r="H9" s="10">
        <v>128</v>
      </c>
      <c r="I9" s="11" t="s">
        <v>1</v>
      </c>
      <c r="J9" s="12">
        <v>30</v>
      </c>
      <c r="K9" s="13">
        <f t="shared" si="0"/>
        <v>3840</v>
      </c>
    </row>
    <row r="10" spans="1:11" s="14" customFormat="1" ht="12.75" customHeight="1" x14ac:dyDescent="0.2">
      <c r="A10" s="8">
        <v>9</v>
      </c>
      <c r="B10" s="9" t="s">
        <v>9</v>
      </c>
      <c r="C10" s="9" t="s">
        <v>32</v>
      </c>
      <c r="D10" s="7" t="s">
        <v>34</v>
      </c>
      <c r="E10" s="7" t="s">
        <v>33</v>
      </c>
      <c r="F10" s="7">
        <v>250057</v>
      </c>
      <c r="G10" s="7" t="s">
        <v>35</v>
      </c>
      <c r="H10" s="10">
        <v>256</v>
      </c>
      <c r="I10" s="11" t="s">
        <v>1</v>
      </c>
      <c r="J10" s="12">
        <v>29</v>
      </c>
      <c r="K10" s="13">
        <f t="shared" si="0"/>
        <v>7424</v>
      </c>
    </row>
    <row r="11" spans="1:11" s="14" customFormat="1" ht="12.75" customHeight="1" x14ac:dyDescent="0.2">
      <c r="A11" s="8">
        <v>10</v>
      </c>
      <c r="B11" s="9" t="s">
        <v>10</v>
      </c>
      <c r="C11" s="9" t="s">
        <v>32</v>
      </c>
      <c r="D11" s="7" t="s">
        <v>34</v>
      </c>
      <c r="E11" s="7" t="s">
        <v>33</v>
      </c>
      <c r="F11" s="7">
        <v>250057</v>
      </c>
      <c r="G11" s="7" t="s">
        <v>35</v>
      </c>
      <c r="H11" s="10">
        <v>1920</v>
      </c>
      <c r="I11" s="11" t="s">
        <v>1</v>
      </c>
      <c r="J11" s="12">
        <v>29</v>
      </c>
      <c r="K11" s="13">
        <f t="shared" si="0"/>
        <v>55680</v>
      </c>
    </row>
    <row r="12" spans="1:11" s="14" customFormat="1" ht="12.75" customHeight="1" x14ac:dyDescent="0.2">
      <c r="A12" s="8">
        <v>11</v>
      </c>
      <c r="B12" s="9" t="s">
        <v>11</v>
      </c>
      <c r="C12" s="9" t="s">
        <v>32</v>
      </c>
      <c r="D12" s="7" t="s">
        <v>34</v>
      </c>
      <c r="E12" s="7" t="s">
        <v>33</v>
      </c>
      <c r="F12" s="7">
        <v>250057</v>
      </c>
      <c r="G12" s="7" t="s">
        <v>35</v>
      </c>
      <c r="H12" s="10">
        <v>1280</v>
      </c>
      <c r="I12" s="11" t="s">
        <v>1</v>
      </c>
      <c r="J12" s="12">
        <v>29</v>
      </c>
      <c r="K12" s="13">
        <f t="shared" si="0"/>
        <v>37120</v>
      </c>
    </row>
    <row r="13" spans="1:11" s="14" customFormat="1" ht="12.75" customHeight="1" x14ac:dyDescent="0.2">
      <c r="A13" s="8">
        <v>12</v>
      </c>
      <c r="B13" s="9" t="s">
        <v>12</v>
      </c>
      <c r="C13" s="9" t="s">
        <v>32</v>
      </c>
      <c r="D13" s="7" t="s">
        <v>34</v>
      </c>
      <c r="E13" s="7" t="s">
        <v>33</v>
      </c>
      <c r="F13" s="7">
        <v>250057</v>
      </c>
      <c r="G13" s="7" t="s">
        <v>35</v>
      </c>
      <c r="H13" s="10">
        <v>1920</v>
      </c>
      <c r="I13" s="11" t="s">
        <v>1</v>
      </c>
      <c r="J13" s="12">
        <v>28</v>
      </c>
      <c r="K13" s="13">
        <f t="shared" si="0"/>
        <v>53760</v>
      </c>
    </row>
    <row r="14" spans="1:11" s="14" customFormat="1" ht="12.75" customHeight="1" x14ac:dyDescent="0.2">
      <c r="A14" s="8">
        <v>13</v>
      </c>
      <c r="B14" s="9" t="s">
        <v>13</v>
      </c>
      <c r="C14" s="9" t="s">
        <v>32</v>
      </c>
      <c r="D14" s="7" t="s">
        <v>34</v>
      </c>
      <c r="E14" s="7" t="s">
        <v>33</v>
      </c>
      <c r="F14" s="7">
        <v>250057</v>
      </c>
      <c r="G14" s="7" t="s">
        <v>35</v>
      </c>
      <c r="H14" s="10">
        <v>128</v>
      </c>
      <c r="I14" s="11" t="s">
        <v>1</v>
      </c>
      <c r="J14" s="12">
        <v>27</v>
      </c>
      <c r="K14" s="13">
        <f t="shared" si="0"/>
        <v>3456</v>
      </c>
    </row>
    <row r="15" spans="1:11" s="14" customFormat="1" ht="12.75" customHeight="1" x14ac:dyDescent="0.2">
      <c r="A15" s="8">
        <v>14</v>
      </c>
      <c r="B15" s="9" t="s">
        <v>14</v>
      </c>
      <c r="C15" s="9" t="s">
        <v>32</v>
      </c>
      <c r="D15" s="7" t="s">
        <v>34</v>
      </c>
      <c r="E15" s="7" t="s">
        <v>33</v>
      </c>
      <c r="F15" s="7">
        <v>250057</v>
      </c>
      <c r="G15" s="7" t="s">
        <v>35</v>
      </c>
      <c r="H15" s="10">
        <v>6400</v>
      </c>
      <c r="I15" s="11" t="s">
        <v>1</v>
      </c>
      <c r="J15" s="12">
        <v>29</v>
      </c>
      <c r="K15" s="13">
        <f t="shared" si="0"/>
        <v>185600</v>
      </c>
    </row>
    <row r="16" spans="1:11" s="14" customFormat="1" ht="12.75" customHeight="1" x14ac:dyDescent="0.2">
      <c r="A16" s="8">
        <v>15</v>
      </c>
      <c r="B16" s="9" t="s">
        <v>15</v>
      </c>
      <c r="C16" s="9" t="s">
        <v>32</v>
      </c>
      <c r="D16" s="7" t="s">
        <v>34</v>
      </c>
      <c r="E16" s="7" t="s">
        <v>33</v>
      </c>
      <c r="F16" s="7">
        <v>250057</v>
      </c>
      <c r="G16" s="7" t="s">
        <v>35</v>
      </c>
      <c r="H16" s="10">
        <v>6400</v>
      </c>
      <c r="I16" s="11" t="s">
        <v>1</v>
      </c>
      <c r="J16" s="12">
        <v>30</v>
      </c>
      <c r="K16" s="13">
        <f t="shared" si="0"/>
        <v>192000</v>
      </c>
    </row>
    <row r="17" spans="1:11" s="14" customFormat="1" ht="12.75" customHeight="1" x14ac:dyDescent="0.2">
      <c r="A17" s="8">
        <v>16</v>
      </c>
      <c r="B17" s="9" t="s">
        <v>16</v>
      </c>
      <c r="C17" s="9" t="s">
        <v>32</v>
      </c>
      <c r="D17" s="7" t="s">
        <v>34</v>
      </c>
      <c r="E17" s="7" t="s">
        <v>33</v>
      </c>
      <c r="F17" s="7">
        <v>250057</v>
      </c>
      <c r="G17" s="7" t="s">
        <v>35</v>
      </c>
      <c r="H17" s="10">
        <v>6400</v>
      </c>
      <c r="I17" s="11" t="s">
        <v>1</v>
      </c>
      <c r="J17" s="12">
        <v>28</v>
      </c>
      <c r="K17" s="13">
        <f t="shared" si="0"/>
        <v>179200</v>
      </c>
    </row>
    <row r="18" spans="1:11" s="14" customFormat="1" ht="12.75" customHeight="1" x14ac:dyDescent="0.2">
      <c r="A18" s="8">
        <v>17</v>
      </c>
      <c r="B18" s="9" t="s">
        <v>17</v>
      </c>
      <c r="C18" s="9" t="s">
        <v>32</v>
      </c>
      <c r="D18" s="7" t="s">
        <v>34</v>
      </c>
      <c r="E18" s="7" t="s">
        <v>33</v>
      </c>
      <c r="F18" s="7">
        <v>250057</v>
      </c>
      <c r="G18" s="7" t="s">
        <v>35</v>
      </c>
      <c r="H18" s="10">
        <v>480</v>
      </c>
      <c r="I18" s="11" t="s">
        <v>1</v>
      </c>
      <c r="J18" s="12">
        <v>29</v>
      </c>
      <c r="K18" s="13">
        <f t="shared" si="0"/>
        <v>13920</v>
      </c>
    </row>
    <row r="19" spans="1:11" s="14" customFormat="1" ht="12.75" customHeight="1" x14ac:dyDescent="0.2">
      <c r="A19" s="8">
        <v>18</v>
      </c>
      <c r="B19" s="9" t="s">
        <v>18</v>
      </c>
      <c r="C19" s="9" t="s">
        <v>32</v>
      </c>
      <c r="D19" s="7" t="s">
        <v>34</v>
      </c>
      <c r="E19" s="7" t="s">
        <v>33</v>
      </c>
      <c r="F19" s="7">
        <v>250057</v>
      </c>
      <c r="G19" s="7" t="s">
        <v>35</v>
      </c>
      <c r="H19" s="10">
        <v>128</v>
      </c>
      <c r="I19" s="11" t="s">
        <v>1</v>
      </c>
      <c r="J19" s="12">
        <v>28</v>
      </c>
      <c r="K19" s="13">
        <f t="shared" si="0"/>
        <v>3584</v>
      </c>
    </row>
    <row r="20" spans="1:11" s="14" customFormat="1" ht="12.75" customHeight="1" x14ac:dyDescent="0.2">
      <c r="A20" s="8">
        <v>19</v>
      </c>
      <c r="B20" s="9" t="s">
        <v>19</v>
      </c>
      <c r="C20" s="9" t="s">
        <v>32</v>
      </c>
      <c r="D20" s="7" t="s">
        <v>34</v>
      </c>
      <c r="E20" s="7" t="s">
        <v>33</v>
      </c>
      <c r="F20" s="7">
        <v>250057</v>
      </c>
      <c r="G20" s="7" t="s">
        <v>35</v>
      </c>
      <c r="H20" s="10">
        <v>6400</v>
      </c>
      <c r="I20" s="11" t="s">
        <v>1</v>
      </c>
      <c r="J20" s="12">
        <v>28</v>
      </c>
      <c r="K20" s="13">
        <f t="shared" si="0"/>
        <v>179200</v>
      </c>
    </row>
    <row r="21" spans="1:11" s="14" customFormat="1" ht="12.75" customHeight="1" x14ac:dyDescent="0.2">
      <c r="A21" s="8">
        <v>20</v>
      </c>
      <c r="B21" s="9" t="s">
        <v>20</v>
      </c>
      <c r="C21" s="9" t="s">
        <v>32</v>
      </c>
      <c r="D21" s="7" t="s">
        <v>34</v>
      </c>
      <c r="E21" s="7" t="s">
        <v>33</v>
      </c>
      <c r="F21" s="7">
        <v>250057</v>
      </c>
      <c r="G21" s="7" t="s">
        <v>35</v>
      </c>
      <c r="H21" s="10">
        <v>6400</v>
      </c>
      <c r="I21" s="11" t="s">
        <v>1</v>
      </c>
      <c r="J21" s="12">
        <v>28</v>
      </c>
      <c r="K21" s="13">
        <f t="shared" si="0"/>
        <v>179200</v>
      </c>
    </row>
    <row r="22" spans="1:11" ht="25.5" x14ac:dyDescent="0.2">
      <c r="D22" s="7"/>
      <c r="E22" s="3"/>
      <c r="J22" s="5" t="s">
        <v>31</v>
      </c>
      <c r="K22" s="13">
        <f>SUM(K2:K21)</f>
        <v>1891424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12-3819-2511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2026-05-12T16:05:45Z</dcterms:created>
  <dcterms:modified xsi:type="dcterms:W3CDTF">2026-05-12T16:15:11Z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2025-11-13T00:00:00Z</vt:filetime>
  </property>
  <property fmtid="{D5CDD505-2E9C-101B-9397-08002B2CF9AE}" pid="4" name="Creator">
    <vt:lpwstr>GrapeCity ActiveReports (tm) for .NET</vt:lpwstr>
  </property>
  <property fmtid="{D5CDD505-2E9C-101B-9397-08002B2CF9AE}" pid="5" name="Producer">
    <vt:lpwstr>ActiveReports for .NET 12.0J</vt:lpwstr>
  </property>
  <property fmtid="{D5CDD505-2E9C-101B-9397-08002B2CF9AE}" pid="6" name="LastSaved">
    <vt:filetime>2025-11-13T00:00:00Z</vt:filetime>
  </property>
</Properties>
</file>